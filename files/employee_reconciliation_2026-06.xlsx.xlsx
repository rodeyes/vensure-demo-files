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008000"/>
    </font>
    <font>
      <color rgb="00666666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3" fontId="3" fillId="0" borderId="0" applyAlignment="1" pivotButton="0" quotePrefix="0" xfId="0">
      <alignment horizontal="right"/>
    </xf>
    <xf numFmtId="0" fontId="2" fillId="2" borderId="0" pivotButton="0" quotePrefix="0" xfId="0"/>
    <xf numFmtId="0" fontId="4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ReconciliationTable" displayName="EmployeeReconciliationTable" ref="A3:G13" headerRowCount="1">
  <autoFilter ref="A3:G13"/>
  <tableColumns count="7">
    <tableColumn id="1" name="recordId"/>
    <tableColumn id="2" name="employeeId"/>
    <tableColumn id="3" name="department"/>
    <tableColumn id="4" name="source1Amount"/>
    <tableColumn id="5" name="source2Amount"/>
    <tableColumn id="6" name="difference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3" customWidth="1" min="6" max="6"/>
    <col width="24" customWidth="1" min="7" max="7"/>
  </cols>
  <sheetData>
    <row r="1" ht="26" customHeight="1">
      <c r="A1" s="1" t="inlineStr">
        <is>
          <t>Employee Reconciliation</t>
        </is>
      </c>
    </row>
    <row r="3">
      <c r="A3" s="2" t="inlineStr">
        <is>
          <t>recordId</t>
        </is>
      </c>
      <c r="B3" s="2" t="inlineStr">
        <is>
          <t>employeeId</t>
        </is>
      </c>
      <c r="C3" s="2" t="inlineStr">
        <is>
          <t>department</t>
        </is>
      </c>
      <c r="D3" s="2" t="inlineStr">
        <is>
          <t>source1Amount</t>
        </is>
      </c>
      <c r="E3" s="2" t="inlineStr">
        <is>
          <t>source2Amount</t>
        </is>
      </c>
      <c r="F3" s="2" t="inlineStr">
        <is>
          <t>difference</t>
        </is>
      </c>
      <c r="G3" s="2" t="inlineStr">
        <is>
          <t>status</t>
        </is>
      </c>
    </row>
    <row r="4">
      <c r="A4" s="3" t="inlineStr">
        <is>
          <t>EMP-001</t>
        </is>
      </c>
      <c r="B4" s="3" t="inlineStr">
        <is>
          <t>E-1001</t>
        </is>
      </c>
      <c r="C4" s="3" t="inlineStr">
        <is>
          <t>Operations</t>
        </is>
      </c>
      <c r="D4" s="4" t="n">
        <v>4200</v>
      </c>
      <c r="E4" s="4" t="n">
        <v>4200</v>
      </c>
      <c r="F4" s="4" t="n">
        <v>0</v>
      </c>
      <c r="G4" s="3" t="inlineStr">
        <is>
          <t>Matched</t>
        </is>
      </c>
    </row>
    <row r="5">
      <c r="A5" s="3" t="inlineStr">
        <is>
          <t>EMP-002</t>
        </is>
      </c>
      <c r="B5" s="3" t="inlineStr">
        <is>
          <t>E-1002</t>
        </is>
      </c>
      <c r="C5" s="3" t="inlineStr">
        <is>
          <t>Finance</t>
        </is>
      </c>
      <c r="D5" s="4" t="n">
        <v>3850</v>
      </c>
      <c r="E5" s="4" t="n">
        <v>3800</v>
      </c>
      <c r="F5" s="4" t="n">
        <v>50</v>
      </c>
      <c r="G5" s="3" t="inlineStr">
        <is>
          <t>Requires validation</t>
        </is>
      </c>
    </row>
    <row r="6">
      <c r="A6" s="3" t="inlineStr">
        <is>
          <t>EMP-003</t>
        </is>
      </c>
      <c r="B6" s="3" t="inlineStr">
        <is>
          <t>E-1003</t>
        </is>
      </c>
      <c r="C6" s="3" t="inlineStr">
        <is>
          <t>HR</t>
        </is>
      </c>
      <c r="D6" s="4" t="n">
        <v>5100</v>
      </c>
      <c r="E6" s="4" t="n">
        <v>5000</v>
      </c>
      <c r="F6" s="4" t="n">
        <v>100</v>
      </c>
      <c r="G6" s="3" t="inlineStr">
        <is>
          <t>Requires validation</t>
        </is>
      </c>
    </row>
    <row r="7">
      <c r="A7" s="3" t="inlineStr">
        <is>
          <t>EMP-004</t>
        </is>
      </c>
      <c r="B7" s="3" t="inlineStr">
        <is>
          <t>E-1004</t>
        </is>
      </c>
      <c r="C7" s="3" t="inlineStr">
        <is>
          <t>Operations</t>
        </is>
      </c>
      <c r="D7" s="4" t="n">
        <v>4600</v>
      </c>
      <c r="E7" s="4" t="n">
        <v>4600</v>
      </c>
      <c r="F7" s="4" t="n">
        <v>0</v>
      </c>
      <c r="G7" s="3" t="inlineStr">
        <is>
          <t>Matched</t>
        </is>
      </c>
    </row>
    <row r="8">
      <c r="A8" s="3" t="inlineStr">
        <is>
          <t>EMP-005</t>
        </is>
      </c>
      <c r="B8" s="3" t="inlineStr">
        <is>
          <t>E-1005</t>
        </is>
      </c>
      <c r="C8" s="3" t="inlineStr">
        <is>
          <t>Sales</t>
        </is>
      </c>
      <c r="D8" s="4" t="n">
        <v>6250</v>
      </c>
      <c r="E8" s="4" t="n">
        <v>6175</v>
      </c>
      <c r="F8" s="4" t="n">
        <v>75</v>
      </c>
      <c r="G8" s="3" t="inlineStr">
        <is>
          <t>Requires validation</t>
        </is>
      </c>
    </row>
    <row r="9">
      <c r="A9" s="3" t="inlineStr">
        <is>
          <t>EMP-006</t>
        </is>
      </c>
      <c r="B9" s="3" t="inlineStr">
        <is>
          <t>E-1006</t>
        </is>
      </c>
      <c r="C9" s="3" t="inlineStr">
        <is>
          <t>Technology</t>
        </is>
      </c>
      <c r="D9" s="4" t="n">
        <v>3900</v>
      </c>
      <c r="E9" s="4" t="n">
        <v>3900</v>
      </c>
      <c r="F9" s="4" t="n">
        <v>0</v>
      </c>
      <c r="G9" s="3" t="inlineStr">
        <is>
          <t>Matched</t>
        </is>
      </c>
    </row>
    <row r="10">
      <c r="A10" s="3" t="inlineStr">
        <is>
          <t>EMP-007</t>
        </is>
      </c>
      <c r="B10" s="3" t="inlineStr">
        <is>
          <t>E-1007</t>
        </is>
      </c>
      <c r="C10" s="3" t="inlineStr">
        <is>
          <t>Finance</t>
        </is>
      </c>
      <c r="D10" s="4" t="n">
        <v>5400</v>
      </c>
      <c r="E10" s="4" t="n">
        <v>5350</v>
      </c>
      <c r="F10" s="4" t="n">
        <v>50</v>
      </c>
      <c r="G10" s="3" t="inlineStr">
        <is>
          <t>Requires validation</t>
        </is>
      </c>
    </row>
    <row r="11">
      <c r="A11" s="3" t="inlineStr">
        <is>
          <t>EMP-008</t>
        </is>
      </c>
      <c r="B11" s="3" t="inlineStr">
        <is>
          <t>E-1008</t>
        </is>
      </c>
      <c r="C11" s="3" t="inlineStr">
        <is>
          <t>Technology</t>
        </is>
      </c>
      <c r="D11" s="4" t="n">
        <v>7100</v>
      </c>
      <c r="E11" s="4" t="n">
        <v>7100</v>
      </c>
      <c r="F11" s="4" t="n">
        <v>0</v>
      </c>
      <c r="G11" s="3" t="inlineStr">
        <is>
          <t>Matched</t>
        </is>
      </c>
    </row>
    <row r="12">
      <c r="A12" s="3" t="inlineStr">
        <is>
          <t>EMP-009</t>
        </is>
      </c>
      <c r="B12" s="3" t="inlineStr">
        <is>
          <t>E-1009</t>
        </is>
      </c>
      <c r="C12" s="3" t="inlineStr">
        <is>
          <t>Sales</t>
        </is>
      </c>
      <c r="D12" s="4" t="n">
        <v>4800</v>
      </c>
      <c r="E12" s="4" t="n">
        <v>4675</v>
      </c>
      <c r="F12" s="4" t="n">
        <v>125</v>
      </c>
      <c r="G12" s="3" t="inlineStr">
        <is>
          <t>Requires validation</t>
        </is>
      </c>
    </row>
    <row r="13">
      <c r="A13" s="3" t="inlineStr">
        <is>
          <t>EMP-010</t>
        </is>
      </c>
      <c r="B13" s="3" t="inlineStr">
        <is>
          <t>E-1010</t>
        </is>
      </c>
      <c r="C13" s="3" t="inlineStr">
        <is>
          <t>HR</t>
        </is>
      </c>
      <c r="D13" s="4" t="n">
        <v>4450</v>
      </c>
      <c r="E13" s="4" t="n">
        <v>4450</v>
      </c>
      <c r="F13" s="4" t="n">
        <v>0</v>
      </c>
      <c r="G13" s="3" t="inlineStr">
        <is>
          <t>Matched</t>
        </is>
      </c>
    </row>
    <row r="16">
      <c r="A16" s="5" t="inlineStr">
        <is>
          <t>Summary</t>
        </is>
      </c>
    </row>
    <row r="17">
      <c r="A17" s="6" t="inlineStr">
        <is>
          <t>Total records</t>
        </is>
      </c>
      <c r="B17" s="7">
        <f>COUNTA(A4:A13)</f>
        <v/>
      </c>
    </row>
    <row r="18">
      <c r="A18" s="6" t="inlineStr">
        <is>
          <t>Matched</t>
        </is>
      </c>
      <c r="B18" s="7">
        <f>COUNTIF(G4:G13,"Matched")</f>
        <v/>
      </c>
    </row>
    <row r="19">
      <c r="A19" s="6" t="inlineStr">
        <is>
          <t>Requires validation</t>
        </is>
      </c>
      <c r="B19" s="7">
        <f>COUNTIF(G4:G13,"Requires validation")</f>
        <v/>
      </c>
    </row>
    <row r="20">
      <c r="A20" s="6" t="inlineStr">
        <is>
          <t>Total difference</t>
        </is>
      </c>
      <c r="B20" s="7">
        <f>SUM(F4:F13)</f>
        <v/>
      </c>
    </row>
  </sheetData>
  <mergeCells count="2">
    <mergeCell ref="A16:B16"/>
    <mergeCell ref="A1:G1"/>
  </mergeCells>
  <conditionalFormatting sqref="A4:G13">
    <cfRule type="expression" priority="1" dxfId="0">
      <formula>$G4="Requires validation"</formula>
    </cfRule>
  </conditionalFormatting>
  <conditionalFormatting sqref="F4:F13">
    <cfRule type="expression" priority="2" dxfId="1">
      <formula>$F4&gt;=100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2026-07-24T17:31:28Z</dcterms:created>
  <dcterms:modified xmlns:dcterms="http://purl.org/dc/terms/" xmlns:xsi="http://www.w3.org/2001/XMLSchema-instance" xsi:type="dcterms:W3CDTF">2026-07-24T17:31:28Z</dcterms:modified>
</cp:coreProperties>
</file>